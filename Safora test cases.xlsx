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INE\Downloads\"/>
    </mc:Choice>
  </mc:AlternateContent>
  <xr:revisionPtr revIDLastSave="0" documentId="8_{CB7D5374-13AC-4981-B708-FCE74F75CAD7}" xr6:coauthVersionLast="47" xr6:coauthVersionMax="47" xr10:uidLastSave="{00000000-0000-0000-0000-000000000000}"/>
  <bookViews>
    <workbookView xWindow="-120" yWindow="-120" windowWidth="20730" windowHeight="11160" xr2:uid="{2EEB12E9-830C-42AC-B848-998C236A9C14}"/>
  </bookViews>
  <sheets>
    <sheet name="Safo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C7" i="1" l="1"/>
  <c r="D3" i="1"/>
  <c r="D4" i="1"/>
  <c r="D6" i="1"/>
  <c r="D5" i="1"/>
  <c r="D7" i="1" l="1"/>
</calcChain>
</file>

<file path=xl/sharedStrings.xml><?xml version="1.0" encoding="utf-8"?>
<sst xmlns="http://schemas.openxmlformats.org/spreadsheetml/2006/main" count="334" uniqueCount="271">
  <si>
    <t>Test Cases</t>
  </si>
  <si>
    <t>Status</t>
  </si>
  <si>
    <t>Number of Test Cases</t>
  </si>
  <si>
    <t>Percentage %</t>
  </si>
  <si>
    <t>Pass</t>
  </si>
  <si>
    <t>Fail</t>
  </si>
  <si>
    <t>On hold</t>
  </si>
  <si>
    <t>Not Executed</t>
  </si>
  <si>
    <t>Number of test cases executed</t>
  </si>
  <si>
    <t>Total Number of Test Cases</t>
  </si>
  <si>
    <t>Steps to recreate</t>
  </si>
  <si>
    <t>Test data</t>
  </si>
  <si>
    <t>Expected results</t>
  </si>
  <si>
    <t>Empty fields</t>
  </si>
  <si>
    <t>Test Case ID</t>
  </si>
  <si>
    <t>Test Scenario</t>
  </si>
  <si>
    <t>Pre - Condition</t>
  </si>
  <si>
    <t>Post Condition</t>
  </si>
  <si>
    <t>TC_001</t>
  </si>
  <si>
    <t>Verify that the Safora homepage loads successfully and displays all essential elements without errors</t>
  </si>
  <si>
    <t>Test Case Description</t>
  </si>
  <si>
    <t>Homepage load verification</t>
  </si>
  <si>
    <t>User has internet access and browser is open</t>
  </si>
  <si>
    <t xml:space="preserve">1. Open browser                                        2. Enter Safora website URL                                                                         3. Press Enter   </t>
  </si>
  <si>
    <t>URL - https://safora.se/en/</t>
  </si>
  <si>
    <t>TC_002</t>
  </si>
  <si>
    <t>TC_003</t>
  </si>
  <si>
    <t>TC_004</t>
  </si>
  <si>
    <t>Homepage is loaded</t>
  </si>
  <si>
    <t>Requested page displayed</t>
  </si>
  <si>
    <t>N/A</t>
  </si>
  <si>
    <t>Navigation menu verification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</si>
  <si>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</si>
  <si>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</si>
  <si>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</si>
  <si>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</si>
  <si>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</si>
  <si>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</si>
  <si>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</si>
  <si>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</si>
  <si>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</si>
  <si>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</si>
  <si>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</si>
  <si>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User remains on homepage</t>
  </si>
  <si>
    <t>Verify that clicking the Safora logo redirects users to the homepage</t>
  </si>
  <si>
    <t>Logo navigation verification</t>
  </si>
  <si>
    <t>User is on any page other than the homepage</t>
  </si>
  <si>
    <t>User is redirected to the homepage</t>
  </si>
  <si>
    <t>Homepage displayed</t>
  </si>
  <si>
    <t>Verify that all navigation menu links redirect users to their respective pages correctly</t>
  </si>
  <si>
    <t>Navigation menu items</t>
  </si>
  <si>
    <t>Each menu opens the correct page</t>
  </si>
  <si>
    <t>Verify that the About Us page loads and displays company information correctly</t>
  </si>
  <si>
    <t>Website accessible</t>
  </si>
  <si>
    <t>About Us page visible</t>
  </si>
  <si>
    <t xml:space="preserve">Verify that the Features page loads and displays available system features. </t>
  </si>
  <si>
    <t>Features page verification</t>
  </si>
  <si>
    <t>About Us page verification</t>
  </si>
  <si>
    <t>Features page visible</t>
  </si>
  <si>
    <t>Verify that the Blog page loads and displays company information correctly</t>
  </si>
  <si>
    <t>Blog page verification</t>
  </si>
  <si>
    <r>
      <t xml:space="preserve">1. Click </t>
    </r>
    <r>
      <rPr>
        <b/>
        <sz val="10"/>
        <color rgb="FF000000"/>
        <rFont val="Calibri"/>
        <family val="2"/>
      </rPr>
      <t>Blog</t>
    </r>
    <r>
      <rPr>
        <sz val="10"/>
        <color rgb="FF000000"/>
        <rFont val="Calibri"/>
        <family val="2"/>
      </rPr>
      <t xml:space="preserve">  from navigation menu</t>
    </r>
  </si>
  <si>
    <r>
      <t xml:space="preserve">1. Click </t>
    </r>
    <r>
      <rPr>
        <b/>
        <sz val="10"/>
        <color rgb="FF000000"/>
        <rFont val="Calibri"/>
        <family val="2"/>
      </rPr>
      <t>Features</t>
    </r>
    <r>
      <rPr>
        <sz val="10"/>
        <color rgb="FF000000"/>
        <rFont val="Calibri"/>
        <family val="2"/>
      </rPr>
      <t xml:space="preserve"> from navigation menu</t>
    </r>
  </si>
  <si>
    <r>
      <t xml:space="preserve">1. Click </t>
    </r>
    <r>
      <rPr>
        <b/>
        <sz val="10"/>
        <color rgb="FF000000"/>
        <rFont val="Calibri"/>
        <family val="2"/>
      </rPr>
      <t>About Us</t>
    </r>
    <r>
      <rPr>
        <sz val="10"/>
        <color rgb="FF000000"/>
        <rFont val="Calibri"/>
        <family val="2"/>
      </rPr>
      <t xml:space="preserve"> from navigation menu</t>
    </r>
  </si>
  <si>
    <r>
      <t xml:space="preserve">1. Click </t>
    </r>
    <r>
      <rPr>
        <b/>
        <sz val="10"/>
        <color rgb="FF000000"/>
        <rFont val="Calibri"/>
        <family val="2"/>
      </rPr>
      <t>Home</t>
    </r>
    <r>
      <rPr>
        <sz val="10"/>
        <color rgb="FF000000"/>
        <rFont val="Calibri"/>
        <family val="2"/>
      </rPr>
      <t xml:space="preserve">                                   2. Click </t>
    </r>
    <r>
      <rPr>
        <b/>
        <sz val="10"/>
        <color rgb="FF000000"/>
        <rFont val="Calibri"/>
        <family val="2"/>
      </rPr>
      <t>About Us</t>
    </r>
    <r>
      <rPr>
        <sz val="10"/>
        <color rgb="FF000000"/>
        <rFont val="Calibri"/>
        <family val="2"/>
      </rPr>
      <t xml:space="preserve">                              3. Click </t>
    </r>
    <r>
      <rPr>
        <b/>
        <sz val="10"/>
        <color rgb="FF000000"/>
        <rFont val="Calibri"/>
        <family val="2"/>
      </rPr>
      <t>Features</t>
    </r>
    <r>
      <rPr>
        <sz val="10"/>
        <color rgb="FF000000"/>
        <rFont val="Calibri"/>
        <family val="2"/>
      </rPr>
      <t xml:space="preserve">                              4. Clck </t>
    </r>
    <r>
      <rPr>
        <b/>
        <sz val="10"/>
        <color rgb="FF000000"/>
        <rFont val="Calibri"/>
        <family val="2"/>
      </rPr>
      <t>Blog</t>
    </r>
    <r>
      <rPr>
        <sz val="10"/>
        <color rgb="FF000000"/>
        <rFont val="Calibri"/>
        <family val="2"/>
      </rPr>
      <t xml:space="preserve">                                       5. Click </t>
    </r>
    <r>
      <rPr>
        <b/>
        <sz val="10"/>
        <color rgb="FF000000"/>
        <rFont val="Calibri"/>
        <family val="2"/>
      </rPr>
      <t xml:space="preserve">Contact Us </t>
    </r>
    <r>
      <rPr>
        <sz val="10"/>
        <color rgb="FF000000"/>
        <rFont val="Calibri"/>
        <family val="2"/>
      </rPr>
      <t xml:space="preserve">                         </t>
    </r>
  </si>
  <si>
    <r>
      <t xml:space="preserve">1. Click the </t>
    </r>
    <r>
      <rPr>
        <b/>
        <sz val="10"/>
        <color rgb="FF000000"/>
        <rFont val="Calibri"/>
        <family val="2"/>
      </rPr>
      <t>Safora logo</t>
    </r>
    <r>
      <rPr>
        <sz val="10"/>
        <color rgb="FF000000"/>
        <rFont val="Calibri"/>
        <family val="2"/>
      </rPr>
      <t xml:space="preserve">   </t>
    </r>
  </si>
  <si>
    <t>Blog page visible</t>
  </si>
  <si>
    <t>Verify that clicking a blog article opens the correct article</t>
  </si>
  <si>
    <t>Blog article verification</t>
  </si>
  <si>
    <t>User in on Blog page</t>
  </si>
  <si>
    <t>1. Select a blog article                    2. Click article title</t>
  </si>
  <si>
    <t>Any available article</t>
  </si>
  <si>
    <t>Selected article opens successfully</t>
  </si>
  <si>
    <t>Article page displayed</t>
  </si>
  <si>
    <t>Verify that the Contact Us page loads successfully</t>
  </si>
  <si>
    <t>Contact page verification</t>
  </si>
  <si>
    <t>1. Click Contact Us menu</t>
  </si>
  <si>
    <t>Contact page and contact form are displayed</t>
  </si>
  <si>
    <t>Contact page opened</t>
  </si>
  <si>
    <t>Verify successful submission of the Contact Us with valid data</t>
  </si>
  <si>
    <t>Contact form submission</t>
  </si>
  <si>
    <t>User is on Contact page</t>
  </si>
  <si>
    <t xml:space="preserve">1. Enter valid name                          2. Enter valid email                          3. Enter valid phone number          4. Enter message                              5. Click submit              </t>
  </si>
  <si>
    <t>Name - John Doe                          Email - johndoe@gmail.com       Phone - 0718888889                     Message - Testing Contact Form</t>
  </si>
  <si>
    <t>Form submitted successfully and confirmation message displayed</t>
  </si>
  <si>
    <t>Inquiry submitted</t>
  </si>
  <si>
    <t>1. Blog page loaded Successfully                                 2. Displays available articles</t>
  </si>
  <si>
    <t>1. Features page loaded Successfully                                 2. Feature information displayed</t>
  </si>
  <si>
    <t>1. About Us page loaded Successfully                                 2. Company information displayed</t>
  </si>
  <si>
    <t xml:space="preserve">1. Homepage loads successfully without errors                              2. Logo, navigation menu, banners and content sections are displayed  </t>
  </si>
  <si>
    <t>Verify validation messages when mandatory fields are empty</t>
  </si>
  <si>
    <t>Required field valdation</t>
  </si>
  <si>
    <t>Contact form displayed</t>
  </si>
  <si>
    <t>1. Leave all required field empty   2. Click submit</t>
  </si>
  <si>
    <t>Required field validation messages displayed</t>
  </si>
  <si>
    <t>Form not submitted</t>
  </si>
  <si>
    <t>Verify that validation messages are displayed when required fields in the Contact Us form are left empty.</t>
  </si>
  <si>
    <t>Empty Field Validation</t>
  </si>
  <si>
    <t>User is on Contact Us page</t>
  </si>
  <si>
    <t>1. Leave fields blank
2. Click Submit</t>
  </si>
  <si>
    <t>Validation errors displayed</t>
  </si>
  <si>
    <t>Verify that the Contact Us form displays an error message when an invalid email address is entered.</t>
  </si>
  <si>
    <t>Email Validation</t>
  </si>
  <si>
    <t>Contact form open</t>
  </si>
  <si>
    <t>1. Enter invalid email
2. Submit form</t>
  </si>
  <si>
    <t>anjaleejayathissagmail.com</t>
  </si>
  <si>
    <t>Email validation error displayed as " Please enter a valid email address"</t>
  </si>
  <si>
    <t>Verify that all mandatory fields are validated before allowing form submission</t>
  </si>
  <si>
    <t>Mandatory Field Validation</t>
  </si>
  <si>
    <t>1. Leave one mandatory field blank
2. Submit form</t>
  </si>
  <si>
    <t>Missing Name</t>
  </si>
  <si>
    <t xml:space="preserve">Mandatory field warning displayed as "Full name is required" </t>
  </si>
  <si>
    <t>Verify that the website is responsive and displays correctly on mobile devices.</t>
  </si>
  <si>
    <t>Mobile Responsiveness</t>
  </si>
  <si>
    <t>Mobile view enabled</t>
  </si>
  <si>
    <t>1. Open website in mobile view</t>
  </si>
  <si>
    <t>Mobile device viewport</t>
  </si>
  <si>
    <t xml:space="preserve">Layout adjusts properly
	</t>
  </si>
  <si>
    <t>Mobile layout displayed</t>
  </si>
  <si>
    <t>Verify that all website links function correctly and do not lead to broken pages.</t>
  </si>
  <si>
    <t>Broken Link Verification</t>
  </si>
  <si>
    <t>1. Click important links</t>
  </si>
  <si>
    <t>Website links</t>
  </si>
  <si>
    <t xml:space="preserve">No broken links found
	</t>
  </si>
  <si>
    <t>Link verification completed</t>
  </si>
  <si>
    <t>TC_016</t>
  </si>
  <si>
    <t>TC_017</t>
  </si>
  <si>
    <t>TC_018</t>
  </si>
  <si>
    <t>TC_019</t>
  </si>
  <si>
    <t>TC_020</t>
  </si>
  <si>
    <t>TC_021</t>
  </si>
  <si>
    <t>TC_022</t>
  </si>
  <si>
    <t>Verify that website pages load within the expected performance threshold.</t>
  </si>
  <si>
    <t>Performance Verification</t>
  </si>
  <si>
    <t>1. Open page
2. Measure load time</t>
  </si>
  <si>
    <t>Page loads within acceptable time</t>
  </si>
  <si>
    <t>Page displayed</t>
  </si>
  <si>
    <t>Verify that the Book Demo page loads successfully.</t>
  </si>
  <si>
    <t>Book Demo Page Load Verification</t>
  </si>
  <si>
    <t>User has internet access</t>
  </si>
  <si>
    <t>1. Navigate to Book Demo page</t>
  </si>
  <si>
    <t>Demo form displayed</t>
  </si>
  <si>
    <t xml:space="preserve">Book Demo page loads without errors
	</t>
  </si>
  <si>
    <t>Verify that the Google Meet option is displayed when booking a meeting.</t>
  </si>
  <si>
    <t>Google Meet Option Visibility</t>
  </si>
  <si>
    <t>User is on the booking page</t>
  </si>
  <si>
    <t>1. Open booking page
2. Navigate to meeting options</t>
  </si>
  <si>
    <t>Google Meet option is visible and selectable</t>
  </si>
  <si>
    <t>Meeting option displayed</t>
  </si>
  <si>
    <t>Zoom Meeting option is visible and selectable</t>
  </si>
  <si>
    <t>Zoom Meeting Option Visibility</t>
  </si>
  <si>
    <t>Verify that the Zoom Meeting option is displayed when booking a meeting.</t>
  </si>
  <si>
    <t>Verify available dates are displayed correctly in the calendar.</t>
  </si>
  <si>
    <t>Calendar Availability Verification</t>
  </si>
  <si>
    <t>Booking page loaded</t>
  </si>
  <si>
    <t>1. . View calendar</t>
  </si>
  <si>
    <t>Available dates are visible and selectable</t>
  </si>
  <si>
    <t>Calendar displayed</t>
  </si>
  <si>
    <t>1. Click available date</t>
  </si>
  <si>
    <t>Any available date</t>
  </si>
  <si>
    <t>Selected date is highlighted</t>
  </si>
  <si>
    <t>Date selected</t>
  </si>
  <si>
    <t>Available dates exist</t>
  </si>
  <si>
    <t>Date Selection Verification</t>
  </si>
  <si>
    <t xml:space="preserve">Verify users can select an available date successfully.
</t>
  </si>
  <si>
    <t>Verify available time slots are displayed after selecting a date.</t>
  </si>
  <si>
    <t>1. Select date
2. Observe time slots</t>
  </si>
  <si>
    <t>Available time slots displayed correctly</t>
  </si>
  <si>
    <t>Time slots visible</t>
  </si>
  <si>
    <t>Available date</t>
  </si>
  <si>
    <t xml:space="preserve">Time Slot Display Verification
</t>
  </si>
  <si>
    <t>Verify users can select an available time slot.</t>
  </si>
  <si>
    <t>Time Slot Selection Verification</t>
  </si>
  <si>
    <t>Available slots displayed</t>
  </si>
  <si>
    <t>1. Select a time slot</t>
  </si>
  <si>
    <t>Any available slot</t>
  </si>
  <si>
    <t>Time slot selected successfully</t>
  </si>
  <si>
    <t>Slot reserved temporarily</t>
  </si>
  <si>
    <t>TC_023</t>
  </si>
  <si>
    <t>TC_024</t>
  </si>
  <si>
    <t>TC_025</t>
  </si>
  <si>
    <t>Verify booking submission with valid user details.</t>
  </si>
  <si>
    <t>Successful Booking Verification</t>
  </si>
  <si>
    <t>Date and time selected</t>
  </si>
  <si>
    <t>1. Enter required details
2. Click Confirm</t>
  </si>
  <si>
    <t>Name: John Doe
Email: johndoe@gmail.com</t>
  </si>
  <si>
    <t>Booking confirmed successfully</t>
  </si>
  <si>
    <t>Appointment created</t>
  </si>
  <si>
    <t>Booking not submitted</t>
  </si>
  <si>
    <t>TC_026</t>
  </si>
  <si>
    <t>TC_027</t>
  </si>
  <si>
    <t>Verify email validation with invalid email format</t>
  </si>
  <si>
    <t>Invalid Email Verification</t>
  </si>
  <si>
    <t>Booking form available</t>
  </si>
  <si>
    <t>1. Enter invalid email
2. Submit</t>
  </si>
  <si>
    <t>Email validation error displayed as " That doesn't look like an email address"</t>
  </si>
  <si>
    <t>Valid booking completed</t>
  </si>
  <si>
    <t>Verify booking confirmation message appears after successful scheduling.</t>
  </si>
  <si>
    <t>1. Complete booking process</t>
  </si>
  <si>
    <t>Valid booking information</t>
  </si>
  <si>
    <t>User receives booking confirmation</t>
  </si>
  <si>
    <t xml:space="preserve">Booking Confirmation Verification
</t>
  </si>
  <si>
    <t xml:space="preserve">Confirmation message displayed as "This meeting is scheduled" </t>
  </si>
  <si>
    <t>TC_028</t>
  </si>
  <si>
    <t>TC_029</t>
  </si>
  <si>
    <t>TC_030</t>
  </si>
  <si>
    <t>Verify timezone information is displayed correctly</t>
  </si>
  <si>
    <t>Timezone Verification</t>
  </si>
  <si>
    <t>1. Check displayed timezone</t>
  </si>
  <si>
    <t>System timezone</t>
  </si>
  <si>
    <t>Correct timezone displayed</t>
  </si>
  <si>
    <t>Timezone visible</t>
  </si>
  <si>
    <t>Verify that users can cancel a scheduled booking successfully.</t>
  </si>
  <si>
    <t>Booking Cancellation Verification</t>
  </si>
  <si>
    <t>User has an existing booking</t>
  </si>
  <si>
    <t>1. Open booking confirmation email
2. Click Cancel Booking link
3. Confirm cancellation</t>
  </si>
  <si>
    <t>Valid booking</t>
  </si>
  <si>
    <t>Booking is cancelled successfully and confirmation message displayed</t>
  </si>
  <si>
    <t>Booking status updated to Cancelled</t>
  </si>
  <si>
    <t>Verify cancellation confirmation email is received after cancelling a booking.</t>
  </si>
  <si>
    <t>Cancellation Email Verification</t>
  </si>
  <si>
    <t>Booking cancelled successfully</t>
  </si>
  <si>
    <t>1. Cancel booking
2. Check email inbox</t>
  </si>
  <si>
    <t>Registered email address</t>
  </si>
  <si>
    <t>Cancellation email received with booking details</t>
  </si>
  <si>
    <t>Email notification delivered</t>
  </si>
  <si>
    <t>TC_031</t>
  </si>
  <si>
    <t>Verify that meeting details are included in the booking confirmation email for Zoom.</t>
  </si>
  <si>
    <t>Zoom Email Verification</t>
  </si>
  <si>
    <t>Zoom booking completed</t>
  </si>
  <si>
    <t>1. Complete booking
2. Check email</t>
  </si>
  <si>
    <t>Valid email address</t>
  </si>
  <si>
    <t>Email contains meeting date, time, and Zoom link</t>
  </si>
  <si>
    <t>Email received</t>
  </si>
  <si>
    <t>TC_032</t>
  </si>
  <si>
    <t>TC_033</t>
  </si>
  <si>
    <t>Verify that users can reschedule an existing booking successfully.</t>
  </si>
  <si>
    <t>Booking Reschedule Verification</t>
  </si>
  <si>
    <t>User has an active booking</t>
  </si>
  <si>
    <t>1. Open confirmation email
2. Click Reschedule
3. Select new date and time
4. Confirm</t>
  </si>
  <si>
    <t>Available date and time</t>
  </si>
  <si>
    <t>Booking rescheduled successfully</t>
  </si>
  <si>
    <t>New booking details saved</t>
  </si>
  <si>
    <t>Verify rescheduling confirmation message after selecting a new slot.</t>
  </si>
  <si>
    <t>Reschedule Confirmation Verification</t>
  </si>
  <si>
    <t>New slot selected</t>
  </si>
  <si>
    <t>1. Confirm reschedule</t>
  </si>
  <si>
    <t>New date and time</t>
  </si>
  <si>
    <t>Success message displayed</t>
  </si>
  <si>
    <t>Booking updated</t>
  </si>
  <si>
    <t>Verify that a rescheduling confirmation email is sent to the user.</t>
  </si>
  <si>
    <t>Reschedule Email Verification</t>
  </si>
  <si>
    <t>Booking rescheduled</t>
  </si>
  <si>
    <t>1. Complete reschedule process
2. Check email</t>
  </si>
  <si>
    <t>Registered email</t>
  </si>
  <si>
    <t>Email contains updated booking details</t>
  </si>
  <si>
    <t>TC_034</t>
  </si>
  <si>
    <t>TC_035</t>
  </si>
  <si>
    <t>Verify that the user can switch the language from English to Swedish using the language selector</t>
  </si>
  <si>
    <t>Language selection</t>
  </si>
  <si>
    <t>User is on the English contact page.</t>
  </si>
  <si>
    <t>1. Open English contact page
2. Click language selector
3. Select Swedish language</t>
  </si>
  <si>
    <t>English to Swedish</t>
  </si>
  <si>
    <t>Page switches to Swedish and 
All content is correctly translated</t>
  </si>
  <si>
    <t>Page is displayed in Swedish</t>
  </si>
  <si>
    <t>Verify that the user can switch the language from Swedish to English using the language selector</t>
  </si>
  <si>
    <t>User is on the Swedish contact page.</t>
  </si>
  <si>
    <t>1. Open Swedish contact page
2. Click language selector
3. Select Swedish language</t>
  </si>
  <si>
    <t>Swedish to English</t>
  </si>
  <si>
    <t>Page switches to English and 
All content is correctly translated</t>
  </si>
  <si>
    <t>Page is displayed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</si>
</sst>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sz val="8"/>
      <name val="Calibri Light"/>
      <family val="1"/>
      <scheme val="major"/>
    </font>
    <font>
      <b/>
      <sz val="9"/>
      <color theme="1"/>
      <name val="Calibri"/>
      <family val="2"/>
    </font>
    <font>
      <b/>
      <sz val="9"/>
      <color rgb="FFFF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-0.249977111117893"/>
        <bgColor rgb="FF54813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3" borderId="3" xfId="1" applyFont="1" applyFill="1" applyBorder="1"/>
    <xf numFmtId="0" fontId="4" fillId="4" borderId="3" xfId="1" applyFont="1" applyFill="1" applyBorder="1"/>
    <xf numFmtId="0" fontId="5" fillId="0" borderId="3" xfId="1" applyFont="1" applyBorder="1"/>
    <xf numFmtId="9" fontId="5" fillId="0" borderId="3" xfId="1" applyNumberFormat="1" applyFont="1" applyBorder="1"/>
    <xf numFmtId="0" fontId="5" fillId="0" borderId="4" xfId="1" applyFont="1" applyBorder="1"/>
    <xf numFmtId="0" fontId="6" fillId="5" borderId="5" xfId="0" applyFont="1" applyFill="1" applyBorder="1" applyAlignment="1">
      <alignment horizontal="left" vertical="top" wrapText="1"/>
    </xf>
    <xf numFmtId="0" fontId="9" fillId="7" borderId="5" xfId="0" applyFont="1" applyFill="1" applyBorder="1" applyAlignment="1">
      <alignment horizontal="left" vertical="top" wrapText="1"/>
    </xf>
    <xf numFmtId="0" fontId="9" fillId="8" borderId="5" xfId="0" applyFont="1" applyFill="1" applyBorder="1" applyAlignment="1">
      <alignment horizontal="left" vertical="top" wrapText="1"/>
    </xf>
    <xf numFmtId="0" fontId="9" fillId="7" borderId="8" xfId="0" applyFont="1" applyFill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9" fillId="7" borderId="9" xfId="0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top" wrapText="1"/>
    </xf>
    <xf numFmtId="9" fontId="5" fillId="0" borderId="0" xfId="1" applyNumberFormat="1" applyFont="1"/>
    <xf numFmtId="0" fontId="5" fillId="0" borderId="0" xfId="1" applyFont="1"/>
    <xf numFmtId="0" fontId="9" fillId="7" borderId="6" xfId="0" applyFont="1" applyFill="1" applyBorder="1" applyAlignment="1">
      <alignment horizontal="left" vertical="top" wrapText="1"/>
    </xf>
    <xf numFmtId="0" fontId="9" fillId="7" borderId="10" xfId="0" applyFont="1" applyFill="1" applyBorder="1" applyAlignment="1">
      <alignment horizontal="left" vertical="top" wrapText="1"/>
    </xf>
    <xf numFmtId="0" fontId="9" fillId="7" borderId="11" xfId="0" applyFont="1" applyFill="1" applyBorder="1" applyAlignment="1">
      <alignment horizontal="left" vertical="top" wrapText="1"/>
    </xf>
    <xf numFmtId="0" fontId="9" fillId="7" borderId="12" xfId="0" applyFont="1" applyFill="1" applyBorder="1" applyAlignment="1">
      <alignment horizontal="left" vertical="top" wrapText="1"/>
    </xf>
    <xf numFmtId="0" fontId="9" fillId="7" borderId="13" xfId="0" applyFont="1" applyFill="1" applyBorder="1" applyAlignment="1">
      <alignment horizontal="left" vertical="top" wrapText="1"/>
    </xf>
    <xf numFmtId="0" fontId="9" fillId="7" borderId="14" xfId="0" applyFont="1" applyFill="1" applyBorder="1" applyAlignment="1">
      <alignment horizontal="left" vertical="top" wrapText="1"/>
    </xf>
    <xf numFmtId="0" fontId="9" fillId="7" borderId="1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8" fillId="2" borderId="7" xfId="0" applyFont="1" applyFill="1" applyBorder="1"/>
    <xf numFmtId="0" fontId="2" fillId="9" borderId="0" xfId="1" applyFont="1" applyFill="1" applyBorder="1" applyAlignment="1">
      <alignment horizontal="left" vertical="center" wrapText="1"/>
    </xf>
    <xf numFmtId="0" fontId="3" fillId="3" borderId="1" xfId="1" applyFont="1" applyFill="1" applyBorder="1"/>
    <xf numFmtId="0" fontId="3" fillId="10" borderId="0" xfId="1" applyFont="1" applyFill="1" applyBorder="1"/>
  </cellXfs>
  <cellStyles count="2">
    <cellStyle name="Excel Built-in Normal" xfId="1" xr:uid="{9F2FD58E-791F-411F-91DF-03B0BAD608B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77C4-C92E-48F9-9AC3-CD983442F816}">
  <sheetPr>
    <pageSetUpPr fitToPage="1"/>
  </sheetPr>
  <dimension ref="A1:J48"/>
  <sheetViews>
    <sheetView tabSelected="1" topLeftCell="B40" zoomScale="86" zoomScaleNormal="86" workbookViewId="0">
      <selection activeCell="A2" sqref="A1:A1048576"/>
    </sheetView>
  </sheetViews>
  <sheetFormatPr defaultRowHeight="15" x14ac:dyDescent="0.25"/>
  <cols>
    <col min="1" max="1" width="4.140625" hidden="1" customWidth="1"/>
    <col min="2" max="2" width="24.85546875" bestFit="1" customWidth="1"/>
    <col min="3" max="4" width="24.85546875" customWidth="1"/>
    <col min="5" max="5" width="22.7109375" customWidth="1"/>
    <col min="6" max="6" width="27" customWidth="1"/>
    <col min="7" max="7" width="26" customWidth="1"/>
    <col min="8" max="8" width="25.42578125" customWidth="1"/>
    <col min="9" max="10" width="24.85546875" customWidth="1"/>
  </cols>
  <sheetData>
    <row r="1" spans="2:10" ht="18.75" x14ac:dyDescent="0.25">
      <c r="B1" s="12" t="s">
        <v>0</v>
      </c>
      <c r="C1" s="13"/>
      <c r="D1" s="13"/>
      <c r="E1" s="27"/>
    </row>
    <row r="2" spans="2:10" x14ac:dyDescent="0.25">
      <c r="B2" s="1" t="s">
        <v>1</v>
      </c>
      <c r="C2" s="1" t="s">
        <v>2</v>
      </c>
      <c r="D2" s="28" t="s">
        <v>3</v>
      </c>
      <c r="E2" s="29"/>
    </row>
    <row r="3" spans="2:10" x14ac:dyDescent="0.25">
      <c r="B3" s="2" t="s">
        <v>4</v>
      </c>
      <c r="C3" s="3">
        <f>COUNTIF(J12:J48, "Pass")</f>
        <v>32</v>
      </c>
      <c r="D3" s="4">
        <f>(C3/C8)</f>
        <v>0.91428571428571426</v>
      </c>
      <c r="E3" s="15"/>
    </row>
    <row r="4" spans="2:10" x14ac:dyDescent="0.25">
      <c r="B4" s="2" t="s">
        <v>5</v>
      </c>
      <c r="C4" s="3">
        <f>COUNTIF(J12:J48, "Fail")</f>
        <v>0</v>
      </c>
      <c r="D4" s="4">
        <f>(C4/C8)</f>
        <v>0</v>
      </c>
      <c r="E4" s="15"/>
    </row>
    <row r="5" spans="2:10" x14ac:dyDescent="0.25">
      <c r="B5" s="2" t="s">
        <v>6</v>
      </c>
      <c r="C5" s="3">
        <f>COUNTIF(J12:J48, "On Hold")</f>
        <v>2</v>
      </c>
      <c r="D5" s="4">
        <f>(C5/C8)</f>
        <v>5.7142857142857141E-2</v>
      </c>
      <c r="E5" s="15"/>
    </row>
    <row r="6" spans="2:10" x14ac:dyDescent="0.25">
      <c r="B6" s="2" t="s">
        <v>7</v>
      </c>
      <c r="C6" s="3">
        <f>COUNTIF(J12:J48, "Not Executed")</f>
        <v>1</v>
      </c>
      <c r="D6" s="4">
        <f>(C6/C8)</f>
        <v>2.8571428571428571E-2</v>
      </c>
      <c r="E6" s="15"/>
    </row>
    <row r="7" spans="2:10" x14ac:dyDescent="0.25">
      <c r="B7" s="2" t="s">
        <v>8</v>
      </c>
      <c r="C7" s="3">
        <f>SUM(C3:C6)</f>
        <v>35</v>
      </c>
      <c r="D7" s="4">
        <f>(C7/C8)</f>
        <v>1</v>
      </c>
      <c r="E7" s="15"/>
    </row>
    <row r="8" spans="2:10" ht="15.75" thickBot="1" x14ac:dyDescent="0.3">
      <c r="B8" s="2" t="s">
        <v>9</v>
      </c>
      <c r="C8" s="5">
        <v>35</v>
      </c>
      <c r="D8" s="5"/>
      <c r="E8" s="16"/>
    </row>
    <row r="12" spans="2:10" x14ac:dyDescent="0.25">
      <c r="B12" s="6" t="s">
        <v>14</v>
      </c>
      <c r="C12" s="6" t="s">
        <v>20</v>
      </c>
      <c r="D12" s="6" t="s">
        <v>15</v>
      </c>
      <c r="E12" s="6" t="s">
        <v>16</v>
      </c>
      <c r="F12" s="6" t="s">
        <v>10</v>
      </c>
      <c r="G12" s="6" t="s">
        <v>11</v>
      </c>
      <c r="H12" s="6" t="s">
        <v>12</v>
      </c>
      <c r="I12" s="6" t="s">
        <v>17</v>
      </c>
      <c r="J12" s="6" t="s">
        <v>1</v>
      </c>
    </row>
    <row r="13" spans="2:10" x14ac:dyDescent="0.25">
      <c r="B13" s="24"/>
      <c r="C13" s="25"/>
      <c r="D13" s="25"/>
      <c r="E13" s="26"/>
      <c r="F13" s="26"/>
      <c r="G13" s="26"/>
      <c r="H13" s="26"/>
      <c r="I13" s="26"/>
      <c r="J13" s="26"/>
    </row>
    <row r="14" spans="2:10" ht="63.75" x14ac:dyDescent="0.25">
      <c r="B14" s="7" t="s">
        <v>18</v>
      </c>
      <c r="C14" s="9" t="s">
        <v>19</v>
      </c>
      <c r="D14" s="7" t="s">
        <v>21</v>
      </c>
      <c r="E14" s="7" t="s">
        <v>22</v>
      </c>
      <c r="F14" s="7" t="s">
        <v>23</v>
      </c>
      <c r="G14" s="7" t="s">
        <v>24</v>
      </c>
      <c r="H14" s="10" t="s">
        <v>89</v>
      </c>
      <c r="I14" s="7" t="s">
        <v>43</v>
      </c>
      <c r="J14" s="8" t="s">
        <v>4</v>
      </c>
    </row>
    <row r="15" spans="2:10" ht="38.25" x14ac:dyDescent="0.25">
      <c r="B15" s="17" t="s">
        <v>25</v>
      </c>
      <c r="C15" s="10" t="s">
        <v>44</v>
      </c>
      <c r="D15" s="18" t="s">
        <v>45</v>
      </c>
      <c r="E15" s="9" t="s">
        <v>46</v>
      </c>
      <c r="F15" s="9" t="s">
        <v>65</v>
      </c>
      <c r="G15" s="9" t="s">
        <v>30</v>
      </c>
      <c r="H15" s="10" t="s">
        <v>47</v>
      </c>
      <c r="I15" s="9" t="s">
        <v>48</v>
      </c>
      <c r="J15" s="8" t="s">
        <v>4</v>
      </c>
    </row>
    <row r="16" spans="2:10" ht="63.75" x14ac:dyDescent="0.25">
      <c r="B16" s="17" t="s">
        <v>26</v>
      </c>
      <c r="C16" s="10" t="s">
        <v>49</v>
      </c>
      <c r="D16" s="18" t="s">
        <v>31</v>
      </c>
      <c r="E16" s="9" t="s">
        <v>28</v>
      </c>
      <c r="F16" s="9" t="s">
        <v>64</v>
      </c>
      <c r="G16" s="10" t="s">
        <v>50</v>
      </c>
      <c r="H16" s="10" t="s">
        <v>51</v>
      </c>
      <c r="I16" s="9" t="s">
        <v>29</v>
      </c>
      <c r="J16" s="8" t="s">
        <v>4</v>
      </c>
    </row>
    <row r="17" spans="2:10" ht="51.75" customHeight="1" x14ac:dyDescent="0.25">
      <c r="B17" s="17" t="s">
        <v>27</v>
      </c>
      <c r="C17" s="10" t="s">
        <v>52</v>
      </c>
      <c r="D17" s="18" t="s">
        <v>57</v>
      </c>
      <c r="E17" s="10" t="s">
        <v>53</v>
      </c>
      <c r="F17" s="10" t="s">
        <v>63</v>
      </c>
      <c r="G17" s="10" t="s">
        <v>30</v>
      </c>
      <c r="H17" s="10" t="s">
        <v>88</v>
      </c>
      <c r="I17" s="11" t="s">
        <v>54</v>
      </c>
      <c r="J17" s="8" t="s">
        <v>4</v>
      </c>
    </row>
    <row r="18" spans="2:10" ht="51" x14ac:dyDescent="0.25">
      <c r="B18" s="17" t="s">
        <v>32</v>
      </c>
      <c r="C18" s="10" t="s">
        <v>55</v>
      </c>
      <c r="D18" s="18" t="s">
        <v>56</v>
      </c>
      <c r="E18" s="10" t="s">
        <v>53</v>
      </c>
      <c r="F18" s="10" t="s">
        <v>62</v>
      </c>
      <c r="G18" s="10" t="s">
        <v>30</v>
      </c>
      <c r="H18" s="10" t="s">
        <v>87</v>
      </c>
      <c r="I18" s="11" t="s">
        <v>58</v>
      </c>
      <c r="J18" s="8" t="s">
        <v>4</v>
      </c>
    </row>
    <row r="19" spans="2:10" ht="38.25" x14ac:dyDescent="0.25">
      <c r="B19" s="19" t="s">
        <v>33</v>
      </c>
      <c r="C19" s="10" t="s">
        <v>59</v>
      </c>
      <c r="D19" s="10" t="s">
        <v>60</v>
      </c>
      <c r="E19" s="10" t="s">
        <v>53</v>
      </c>
      <c r="F19" s="10" t="s">
        <v>61</v>
      </c>
      <c r="G19" s="10" t="s">
        <v>30</v>
      </c>
      <c r="H19" s="10" t="s">
        <v>86</v>
      </c>
      <c r="I19" s="11" t="s">
        <v>66</v>
      </c>
      <c r="J19" s="8" t="s">
        <v>4</v>
      </c>
    </row>
    <row r="20" spans="2:10" ht="38.25" x14ac:dyDescent="0.25">
      <c r="B20" s="10" t="s">
        <v>34</v>
      </c>
      <c r="C20" s="10" t="s">
        <v>67</v>
      </c>
      <c r="D20" s="10" t="s">
        <v>68</v>
      </c>
      <c r="E20" s="10" t="s">
        <v>69</v>
      </c>
      <c r="F20" s="10" t="s">
        <v>70</v>
      </c>
      <c r="G20" s="10" t="s">
        <v>71</v>
      </c>
      <c r="H20" s="10" t="s">
        <v>72</v>
      </c>
      <c r="I20" s="11" t="s">
        <v>73</v>
      </c>
      <c r="J20" s="8" t="s">
        <v>4</v>
      </c>
    </row>
    <row r="21" spans="2:10" ht="42" customHeight="1" x14ac:dyDescent="0.25">
      <c r="B21" s="21" t="s">
        <v>35</v>
      </c>
      <c r="C21" s="10" t="s">
        <v>74</v>
      </c>
      <c r="D21" s="10" t="s">
        <v>75</v>
      </c>
      <c r="E21" s="10" t="s">
        <v>53</v>
      </c>
      <c r="F21" s="10" t="s">
        <v>76</v>
      </c>
      <c r="G21" s="10" t="s">
        <v>30</v>
      </c>
      <c r="H21" s="10" t="s">
        <v>77</v>
      </c>
      <c r="I21" s="11" t="s">
        <v>78</v>
      </c>
      <c r="J21" s="8" t="s">
        <v>4</v>
      </c>
    </row>
    <row r="22" spans="2:10" ht="63.75" x14ac:dyDescent="0.25">
      <c r="B22" s="10" t="s">
        <v>36</v>
      </c>
      <c r="C22" s="10" t="s">
        <v>79</v>
      </c>
      <c r="D22" s="14" t="s">
        <v>80</v>
      </c>
      <c r="E22" s="10" t="s">
        <v>81</v>
      </c>
      <c r="F22" s="10" t="s">
        <v>82</v>
      </c>
      <c r="G22" s="10" t="s">
        <v>83</v>
      </c>
      <c r="H22" s="10" t="s">
        <v>84</v>
      </c>
      <c r="I22" s="11" t="s">
        <v>85</v>
      </c>
      <c r="J22" s="8" t="s">
        <v>4</v>
      </c>
    </row>
    <row r="23" spans="2:10" ht="38.25" x14ac:dyDescent="0.25">
      <c r="B23" s="20" t="s">
        <v>37</v>
      </c>
      <c r="C23" s="10" t="s">
        <v>90</v>
      </c>
      <c r="D23" s="10" t="s">
        <v>91</v>
      </c>
      <c r="E23" s="10" t="s">
        <v>92</v>
      </c>
      <c r="F23" s="10" t="s">
        <v>93</v>
      </c>
      <c r="G23" s="10" t="s">
        <v>13</v>
      </c>
      <c r="H23" s="10" t="s">
        <v>94</v>
      </c>
      <c r="I23" s="11" t="s">
        <v>95</v>
      </c>
      <c r="J23" s="8" t="s">
        <v>4</v>
      </c>
    </row>
    <row r="24" spans="2:10" ht="51" x14ac:dyDescent="0.25">
      <c r="B24" s="17" t="s">
        <v>38</v>
      </c>
      <c r="C24" s="10" t="s">
        <v>96</v>
      </c>
      <c r="D24" s="22" t="s">
        <v>97</v>
      </c>
      <c r="E24" s="10" t="s">
        <v>98</v>
      </c>
      <c r="F24" s="10" t="s">
        <v>99</v>
      </c>
      <c r="G24" s="10" t="s">
        <v>13</v>
      </c>
      <c r="H24" s="10" t="s">
        <v>100</v>
      </c>
      <c r="I24" s="11" t="s">
        <v>95</v>
      </c>
      <c r="J24" s="8" t="s">
        <v>4</v>
      </c>
    </row>
    <row r="25" spans="2:10" ht="51" x14ac:dyDescent="0.25">
      <c r="B25" s="17" t="s">
        <v>39</v>
      </c>
      <c r="C25" s="10" t="s">
        <v>101</v>
      </c>
      <c r="D25" s="22" t="s">
        <v>102</v>
      </c>
      <c r="E25" s="10" t="s">
        <v>103</v>
      </c>
      <c r="F25" s="10" t="s">
        <v>104</v>
      </c>
      <c r="G25" s="10" t="s">
        <v>105</v>
      </c>
      <c r="H25" s="10" t="s">
        <v>106</v>
      </c>
      <c r="I25" s="11" t="s">
        <v>95</v>
      </c>
      <c r="J25" s="8" t="s">
        <v>4</v>
      </c>
    </row>
    <row r="26" spans="2:10" ht="38.25" x14ac:dyDescent="0.25">
      <c r="B26" s="17" t="s">
        <v>40</v>
      </c>
      <c r="C26" s="10" t="s">
        <v>107</v>
      </c>
      <c r="D26" s="10" t="s">
        <v>108</v>
      </c>
      <c r="E26" s="10" t="s">
        <v>103</v>
      </c>
      <c r="F26" s="10" t="s">
        <v>109</v>
      </c>
      <c r="G26" s="10" t="s">
        <v>110</v>
      </c>
      <c r="H26" s="10" t="s">
        <v>111</v>
      </c>
      <c r="I26" s="11" t="s">
        <v>95</v>
      </c>
      <c r="J26" s="8" t="s">
        <v>4</v>
      </c>
    </row>
    <row r="27" spans="2:10" ht="38.25" x14ac:dyDescent="0.25">
      <c r="B27" s="17" t="s">
        <v>41</v>
      </c>
      <c r="C27" s="10" t="s">
        <v>112</v>
      </c>
      <c r="D27" s="10" t="s">
        <v>113</v>
      </c>
      <c r="E27" s="10" t="s">
        <v>114</v>
      </c>
      <c r="F27" s="10" t="s">
        <v>115</v>
      </c>
      <c r="G27" s="10" t="s">
        <v>116</v>
      </c>
      <c r="H27" s="10" t="s">
        <v>117</v>
      </c>
      <c r="I27" s="11" t="s">
        <v>118</v>
      </c>
      <c r="J27" s="8" t="s">
        <v>4</v>
      </c>
    </row>
    <row r="28" spans="2:10" ht="38.25" x14ac:dyDescent="0.25">
      <c r="B28" s="17" t="s">
        <v>42</v>
      </c>
      <c r="C28" s="10" t="s">
        <v>119</v>
      </c>
      <c r="D28" s="10" t="s">
        <v>120</v>
      </c>
      <c r="E28" s="10" t="s">
        <v>53</v>
      </c>
      <c r="F28" s="10" t="s">
        <v>121</v>
      </c>
      <c r="G28" s="10" t="s">
        <v>122</v>
      </c>
      <c r="H28" s="10" t="s">
        <v>123</v>
      </c>
      <c r="I28" s="11" t="s">
        <v>124</v>
      </c>
      <c r="J28" s="8" t="s">
        <v>4</v>
      </c>
    </row>
    <row r="29" spans="2:10" ht="38.25" x14ac:dyDescent="0.25">
      <c r="B29" s="17" t="s">
        <v>125</v>
      </c>
      <c r="C29" s="10" t="s">
        <v>132</v>
      </c>
      <c r="D29" s="10" t="s">
        <v>133</v>
      </c>
      <c r="E29" s="10" t="s">
        <v>53</v>
      </c>
      <c r="F29" s="10" t="s">
        <v>134</v>
      </c>
      <c r="G29" s="10" t="s">
        <v>30</v>
      </c>
      <c r="H29" s="10" t="s">
        <v>135</v>
      </c>
      <c r="I29" s="11" t="s">
        <v>136</v>
      </c>
      <c r="J29" s="8" t="s">
        <v>7</v>
      </c>
    </row>
    <row r="30" spans="2:10" ht="38.25" x14ac:dyDescent="0.25">
      <c r="B30" s="17" t="s">
        <v>126</v>
      </c>
      <c r="C30" s="10" t="s">
        <v>137</v>
      </c>
      <c r="D30" s="10" t="s">
        <v>138</v>
      </c>
      <c r="E30" s="10" t="s">
        <v>139</v>
      </c>
      <c r="F30" s="10" t="s">
        <v>140</v>
      </c>
      <c r="G30" s="10" t="s">
        <v>30</v>
      </c>
      <c r="H30" s="10" t="s">
        <v>142</v>
      </c>
      <c r="I30" s="11" t="s">
        <v>141</v>
      </c>
      <c r="J30" s="8" t="s">
        <v>4</v>
      </c>
    </row>
    <row r="31" spans="2:10" ht="38.25" x14ac:dyDescent="0.25">
      <c r="B31" s="17" t="s">
        <v>127</v>
      </c>
      <c r="C31" s="10" t="s">
        <v>143</v>
      </c>
      <c r="D31" s="10" t="s">
        <v>144</v>
      </c>
      <c r="E31" s="10" t="s">
        <v>145</v>
      </c>
      <c r="F31" s="10" t="s">
        <v>146</v>
      </c>
      <c r="G31" s="10" t="s">
        <v>30</v>
      </c>
      <c r="H31" s="10" t="s">
        <v>147</v>
      </c>
      <c r="I31" s="11" t="s">
        <v>148</v>
      </c>
      <c r="J31" s="8" t="s">
        <v>4</v>
      </c>
    </row>
    <row r="32" spans="2:10" ht="38.25" x14ac:dyDescent="0.25">
      <c r="B32" s="17" t="s">
        <v>128</v>
      </c>
      <c r="C32" s="10" t="s">
        <v>151</v>
      </c>
      <c r="D32" s="10" t="s">
        <v>150</v>
      </c>
      <c r="E32" s="10" t="s">
        <v>145</v>
      </c>
      <c r="F32" s="10" t="s">
        <v>146</v>
      </c>
      <c r="G32" s="10" t="s">
        <v>30</v>
      </c>
      <c r="H32" s="10" t="s">
        <v>149</v>
      </c>
      <c r="I32" s="11" t="s">
        <v>148</v>
      </c>
      <c r="J32" s="8" t="s">
        <v>4</v>
      </c>
    </row>
    <row r="33" spans="2:10" ht="38.25" x14ac:dyDescent="0.25">
      <c r="B33" s="17" t="s">
        <v>129</v>
      </c>
      <c r="C33" s="10" t="s">
        <v>152</v>
      </c>
      <c r="D33" s="10" t="s">
        <v>153</v>
      </c>
      <c r="E33" s="10" t="s">
        <v>154</v>
      </c>
      <c r="F33" s="10" t="s">
        <v>155</v>
      </c>
      <c r="G33" s="10" t="s">
        <v>30</v>
      </c>
      <c r="H33" s="10" t="s">
        <v>156</v>
      </c>
      <c r="I33" s="11" t="s">
        <v>157</v>
      </c>
      <c r="J33" s="8" t="s">
        <v>4</v>
      </c>
    </row>
    <row r="34" spans="2:10" ht="33" customHeight="1" x14ac:dyDescent="0.25">
      <c r="B34" s="17" t="s">
        <v>130</v>
      </c>
      <c r="C34" s="10" t="s">
        <v>164</v>
      </c>
      <c r="D34" s="10" t="s">
        <v>163</v>
      </c>
      <c r="E34" s="10" t="s">
        <v>162</v>
      </c>
      <c r="F34" s="10" t="s">
        <v>158</v>
      </c>
      <c r="G34" s="10" t="s">
        <v>159</v>
      </c>
      <c r="H34" s="10" t="s">
        <v>160</v>
      </c>
      <c r="I34" s="11" t="s">
        <v>161</v>
      </c>
      <c r="J34" s="8" t="s">
        <v>4</v>
      </c>
    </row>
    <row r="35" spans="2:10" ht="38.25" x14ac:dyDescent="0.25">
      <c r="B35" s="17" t="s">
        <v>131</v>
      </c>
      <c r="C35" s="10" t="s">
        <v>165</v>
      </c>
      <c r="D35" s="10" t="s">
        <v>170</v>
      </c>
      <c r="E35" s="10" t="s">
        <v>161</v>
      </c>
      <c r="F35" s="10" t="s">
        <v>166</v>
      </c>
      <c r="G35" s="10" t="s">
        <v>169</v>
      </c>
      <c r="H35" s="10" t="s">
        <v>167</v>
      </c>
      <c r="I35" s="11" t="s">
        <v>168</v>
      </c>
      <c r="J35" s="8" t="s">
        <v>4</v>
      </c>
    </row>
    <row r="36" spans="2:10" ht="25.5" x14ac:dyDescent="0.25">
      <c r="B36" s="17" t="s">
        <v>178</v>
      </c>
      <c r="C36" s="10" t="s">
        <v>171</v>
      </c>
      <c r="D36" s="10" t="s">
        <v>172</v>
      </c>
      <c r="E36" s="10" t="s">
        <v>173</v>
      </c>
      <c r="F36" s="10" t="s">
        <v>174</v>
      </c>
      <c r="G36" s="10" t="s">
        <v>175</v>
      </c>
      <c r="H36" s="10" t="s">
        <v>176</v>
      </c>
      <c r="I36" s="11" t="s">
        <v>177</v>
      </c>
      <c r="J36" s="8" t="s">
        <v>4</v>
      </c>
    </row>
    <row r="37" spans="2:10" ht="25.5" x14ac:dyDescent="0.25">
      <c r="B37" s="17" t="s">
        <v>179</v>
      </c>
      <c r="C37" s="10" t="s">
        <v>181</v>
      </c>
      <c r="D37" s="10" t="s">
        <v>182</v>
      </c>
      <c r="E37" s="10" t="s">
        <v>183</v>
      </c>
      <c r="F37" s="10" t="s">
        <v>184</v>
      </c>
      <c r="G37" s="10" t="s">
        <v>185</v>
      </c>
      <c r="H37" s="10" t="s">
        <v>186</v>
      </c>
      <c r="I37" s="11" t="s">
        <v>187</v>
      </c>
      <c r="J37" s="8" t="s">
        <v>6</v>
      </c>
    </row>
    <row r="38" spans="2:10" ht="38.25" x14ac:dyDescent="0.25">
      <c r="B38" s="17" t="s">
        <v>180</v>
      </c>
      <c r="C38" s="10" t="s">
        <v>191</v>
      </c>
      <c r="D38" s="10" t="s">
        <v>192</v>
      </c>
      <c r="E38" s="10" t="s">
        <v>193</v>
      </c>
      <c r="F38" s="10" t="s">
        <v>194</v>
      </c>
      <c r="G38" s="10" t="s">
        <v>105</v>
      </c>
      <c r="H38" s="10" t="s">
        <v>195</v>
      </c>
      <c r="I38" s="11" t="s">
        <v>188</v>
      </c>
      <c r="J38" s="8" t="s">
        <v>4</v>
      </c>
    </row>
    <row r="39" spans="2:10" ht="38.25" x14ac:dyDescent="0.25">
      <c r="B39" s="17" t="s">
        <v>189</v>
      </c>
      <c r="C39" s="10" t="s">
        <v>197</v>
      </c>
      <c r="D39" s="10" t="s">
        <v>201</v>
      </c>
      <c r="E39" s="10" t="s">
        <v>196</v>
      </c>
      <c r="F39" s="10" t="s">
        <v>198</v>
      </c>
      <c r="G39" s="10" t="s">
        <v>199</v>
      </c>
      <c r="H39" s="10" t="s">
        <v>202</v>
      </c>
      <c r="I39" s="11" t="s">
        <v>200</v>
      </c>
      <c r="J39" s="8" t="s">
        <v>4</v>
      </c>
    </row>
    <row r="40" spans="2:10" ht="38.25" x14ac:dyDescent="0.25">
      <c r="B40" s="17" t="s">
        <v>190</v>
      </c>
      <c r="C40" s="10" t="s">
        <v>227</v>
      </c>
      <c r="D40" s="10" t="s">
        <v>228</v>
      </c>
      <c r="E40" s="10" t="s">
        <v>229</v>
      </c>
      <c r="F40" s="10" t="s">
        <v>230</v>
      </c>
      <c r="G40" s="10" t="s">
        <v>231</v>
      </c>
      <c r="H40" s="10" t="s">
        <v>232</v>
      </c>
      <c r="I40" s="23" t="s">
        <v>233</v>
      </c>
      <c r="J40" s="8" t="s">
        <v>4</v>
      </c>
    </row>
    <row r="41" spans="2:10" ht="25.5" x14ac:dyDescent="0.25">
      <c r="B41" s="17" t="s">
        <v>203</v>
      </c>
      <c r="C41" s="10" t="s">
        <v>206</v>
      </c>
      <c r="D41" s="10" t="s">
        <v>207</v>
      </c>
      <c r="E41" s="10" t="s">
        <v>154</v>
      </c>
      <c r="F41" s="10" t="s">
        <v>208</v>
      </c>
      <c r="G41" s="10" t="s">
        <v>209</v>
      </c>
      <c r="H41" s="10" t="s">
        <v>210</v>
      </c>
      <c r="I41" s="11" t="s">
        <v>211</v>
      </c>
      <c r="J41" s="8" t="s">
        <v>4</v>
      </c>
    </row>
    <row r="42" spans="2:10" ht="51" x14ac:dyDescent="0.25">
      <c r="B42" s="17" t="s">
        <v>204</v>
      </c>
      <c r="C42" s="10" t="s">
        <v>212</v>
      </c>
      <c r="D42" s="10" t="s">
        <v>213</v>
      </c>
      <c r="E42" s="10" t="s">
        <v>214</v>
      </c>
      <c r="F42" s="10" t="s">
        <v>215</v>
      </c>
      <c r="G42" s="10" t="s">
        <v>216</v>
      </c>
      <c r="H42" s="10" t="s">
        <v>217</v>
      </c>
      <c r="I42" s="11" t="s">
        <v>218</v>
      </c>
      <c r="J42" s="8" t="s">
        <v>4</v>
      </c>
    </row>
    <row r="43" spans="2:10" ht="51" x14ac:dyDescent="0.25">
      <c r="B43" s="17" t="s">
        <v>205</v>
      </c>
      <c r="C43" s="10" t="s">
        <v>219</v>
      </c>
      <c r="D43" s="10" t="s">
        <v>220</v>
      </c>
      <c r="E43" s="10" t="s">
        <v>221</v>
      </c>
      <c r="F43" s="10" t="s">
        <v>222</v>
      </c>
      <c r="G43" s="10" t="s">
        <v>223</v>
      </c>
      <c r="H43" s="10" t="s">
        <v>224</v>
      </c>
      <c r="I43" s="11" t="s">
        <v>225</v>
      </c>
      <c r="J43" s="8" t="s">
        <v>4</v>
      </c>
    </row>
    <row r="44" spans="2:10" ht="51" x14ac:dyDescent="0.25">
      <c r="B44" s="17" t="s">
        <v>226</v>
      </c>
      <c r="C44" s="10" t="s">
        <v>236</v>
      </c>
      <c r="D44" s="10" t="s">
        <v>237</v>
      </c>
      <c r="E44" s="10" t="s">
        <v>238</v>
      </c>
      <c r="F44" s="10" t="s">
        <v>239</v>
      </c>
      <c r="G44" s="10" t="s">
        <v>240</v>
      </c>
      <c r="H44" s="10" t="s">
        <v>241</v>
      </c>
      <c r="I44" s="11" t="s">
        <v>242</v>
      </c>
      <c r="J44" s="8" t="s">
        <v>4</v>
      </c>
    </row>
    <row r="45" spans="2:10" ht="38.25" x14ac:dyDescent="0.25">
      <c r="B45" s="17" t="s">
        <v>234</v>
      </c>
      <c r="C45" s="10" t="s">
        <v>243</v>
      </c>
      <c r="D45" s="10" t="s">
        <v>244</v>
      </c>
      <c r="E45" s="10" t="s">
        <v>245</v>
      </c>
      <c r="F45" s="10" t="s">
        <v>246</v>
      </c>
      <c r="G45" s="10" t="s">
        <v>247</v>
      </c>
      <c r="H45" s="10" t="s">
        <v>248</v>
      </c>
      <c r="I45" s="11" t="s">
        <v>249</v>
      </c>
      <c r="J45" s="8" t="s">
        <v>4</v>
      </c>
    </row>
    <row r="46" spans="2:10" ht="38.25" x14ac:dyDescent="0.25">
      <c r="B46" s="17" t="s">
        <v>235</v>
      </c>
      <c r="C46" s="10" t="s">
        <v>250</v>
      </c>
      <c r="D46" s="10" t="s">
        <v>251</v>
      </c>
      <c r="E46" s="10" t="s">
        <v>252</v>
      </c>
      <c r="F46" s="10" t="s">
        <v>253</v>
      </c>
      <c r="G46" s="10" t="s">
        <v>254</v>
      </c>
      <c r="H46" s="10" t="s">
        <v>255</v>
      </c>
      <c r="I46" s="11" t="s">
        <v>225</v>
      </c>
      <c r="J46" s="8" t="s">
        <v>6</v>
      </c>
    </row>
    <row r="47" spans="2:10" ht="51" x14ac:dyDescent="0.25">
      <c r="B47" s="17" t="s">
        <v>256</v>
      </c>
      <c r="C47" s="10" t="s">
        <v>258</v>
      </c>
      <c r="D47" s="10" t="s">
        <v>259</v>
      </c>
      <c r="E47" s="10" t="s">
        <v>260</v>
      </c>
      <c r="F47" s="10" t="s">
        <v>261</v>
      </c>
      <c r="G47" s="10" t="s">
        <v>262</v>
      </c>
      <c r="H47" s="10" t="s">
        <v>263</v>
      </c>
      <c r="I47" s="11" t="s">
        <v>264</v>
      </c>
      <c r="J47" s="8" t="s">
        <v>4</v>
      </c>
    </row>
    <row r="48" spans="2:10" ht="51" x14ac:dyDescent="0.25">
      <c r="B48" s="17" t="s">
        <v>257</v>
      </c>
      <c r="C48" s="10" t="s">
        <v>265</v>
      </c>
      <c r="D48" s="10" t="s">
        <v>259</v>
      </c>
      <c r="E48" s="10" t="s">
        <v>266</v>
      </c>
      <c r="F48" s="10" t="s">
        <v>267</v>
      </c>
      <c r="G48" s="10" t="s">
        <v>268</v>
      </c>
      <c r="H48" s="10" t="s">
        <v>269</v>
      </c>
      <c r="I48" s="11" t="s">
        <v>270</v>
      </c>
      <c r="J48" s="8" t="s">
        <v>4</v>
      </c>
    </row>
  </sheetData>
  <mergeCells count="1">
    <mergeCell ref="B13:J13"/>
  </mergeCells>
  <phoneticPr fontId="11" type="noConversion"/>
  <dataValidations count="1">
    <dataValidation type="list" allowBlank="1" showErrorMessage="1" sqref="J14:J48" xr:uid="{60EE049A-BD14-4E42-A628-1CC2685EA879}">
      <formula1>"Pass,Fail,On hold,Not Executed"</formula1>
    </dataValidation>
  </dataValidations>
  <pageMargins left="0.7" right="0.7" top="0.75" bottom="0.75" header="0.3" footer="0.3"/>
  <pageSetup scale="4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PGAI Jayathissa</dc:creator>
  <cp:lastModifiedBy>PGAI Jayathissa</cp:lastModifiedBy>
  <cp:lastPrinted>2026-06-01T15:17:49Z</cp:lastPrinted>
  <dcterms:created xsi:type="dcterms:W3CDTF">2026-04-26T18:08:10Z</dcterms:created>
  <dcterms:modified xsi:type="dcterms:W3CDTF">2026-06-01T17:21:04Z</dcterms:modified>
</cp:coreProperties>
</file>